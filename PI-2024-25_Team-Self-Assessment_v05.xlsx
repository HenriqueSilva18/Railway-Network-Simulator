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and Self Assessment" sheetId="1" r:id="rId4"/>
    <sheet state="visible" name="User Stories" sheetId="2" r:id="rId5"/>
  </sheets>
  <externalReferences>
    <externalReference r:id="rId6"/>
  </externalReferences>
  <definedNames>
    <definedName name="ItemEval">[1]!Table2[ItemEval]</definedName>
  </definedNames>
  <calcPr/>
  <extLst>
    <ext uri="GoogleSheetsCustomDataVersion2">
      <go:sheetsCustomData xmlns:go="http://customooxmlschemas.google.com/" r:id="rId7" roundtripDataChecksum="PAl2ezrMNVgdaSLMs7gw0/SIqw19XufJmCQ4PIcIU7E="/>
    </ext>
  </extLst>
</workbook>
</file>

<file path=xl/sharedStrings.xml><?xml version="1.0" encoding="utf-8"?>
<sst xmlns="http://schemas.openxmlformats.org/spreadsheetml/2006/main" count="218" uniqueCount="55">
  <si>
    <t>LAPR2 Project: Group/Team and Self-assessment v5.0</t>
  </si>
  <si>
    <t>Fill in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</si>
  <si>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</si>
  <si>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</si>
  <si>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</si>
  <si>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</si>
  <si>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</si>
  <si>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</si>
  <si>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5</t>
  </si>
  <si>
    <t>Student 6</t>
  </si>
  <si>
    <t>Student 7</t>
  </si>
  <si>
    <t>Student 8</t>
  </si>
  <si>
    <t>Instructions: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</si>
  <si>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</si>
  <si>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</si>
  <si>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</si>
  <si>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</si>
  <si>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</si>
  <si>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</si>
  <si>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</si>
  <si>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</si>
  <si>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</si>
  <si>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</si>
  <si>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</si>
  <si>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</si>
  <si>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</si>
  <si>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</si>
  <si>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</si>
  <si>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</si>
  <si>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</si>
  <si>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</si>
  <si>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</si>
  <si>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</si>
  <si>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</si>
  <si>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</si>
  <si>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</si>
  <si>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</si>
  <si>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</si>
  <si>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</si>
  <si>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</si>
  <si>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US01</t>
  </si>
  <si>
    <t>The students  have exceeded expectations </t>
  </si>
  <si>
    <t>US02</t>
  </si>
  <si>
    <t>US03</t>
  </si>
  <si>
    <t>US04</t>
  </si>
  <si>
    <t>US05</t>
  </si>
  <si>
    <t>US06</t>
  </si>
  <si>
    <t>US07</t>
  </si>
  <si>
    <t>US08</t>
  </si>
  <si>
    <t>This US wasn't required of team</t>
  </si>
  <si>
    <t>US09</t>
  </si>
  <si>
    <t>US10</t>
  </si>
  <si>
    <t>US11</t>
  </si>
  <si>
    <t>US12</t>
  </si>
  <si>
    <t>User Manual (LAPR2)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</si>
</sst>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6.0"/>
      <color theme="1"/>
      <name val="Calibri"/>
    </font>
    <font>
      <sz val="12.0"/>
      <color theme="1"/>
      <name val="Calibri"/>
    </font>
    <font>
      <b/>
      <sz val="12.0"/>
      <color theme="4"/>
      <name val="Calibri"/>
    </font>
    <font>
      <b/>
      <sz val="12.0"/>
      <color theme="1"/>
      <name val="Calibri"/>
    </font>
    <font/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45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2" numFmtId="0" xfId="0" applyAlignment="1" applyBorder="1" applyFont="1">
      <alignment horizontal="center" shrinkToFit="0" textRotation="65" vertical="center" wrapText="1"/>
    </xf>
    <xf borderId="6" fillId="0" fontId="2" numFmtId="0" xfId="0" applyAlignment="1" applyBorder="1" applyFont="1">
      <alignment horizontal="center" shrinkToFit="0" textRotation="65" vertical="center" wrapText="1"/>
    </xf>
    <xf borderId="7" fillId="0" fontId="2" numFmtId="0" xfId="0" applyAlignment="1" applyBorder="1" applyFont="1">
      <alignment horizontal="center" shrinkToFit="0" textRotation="65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10" fillId="3" fontId="2" numFmtId="0" xfId="0" applyAlignment="1" applyBorder="1" applyFill="1" applyFont="1">
      <alignment horizontal="center" readingOrder="0" shrinkToFit="0" vertical="center" wrapText="1"/>
    </xf>
    <xf borderId="11" fillId="2" fontId="2" numFmtId="0" xfId="0" applyAlignment="1" applyBorder="1" applyFont="1">
      <alignment horizontal="center" readingOrder="0" shrinkToFit="0" vertical="center" wrapText="1"/>
    </xf>
    <xf borderId="12" fillId="2" fontId="2" numFmtId="0" xfId="0" applyAlignment="1" applyBorder="1" applyFont="1">
      <alignment horizontal="center" readingOrder="0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0" fontId="2" numFmtId="2" xfId="0" applyBorder="1" applyFont="1" applyNumberFormat="1"/>
    <xf borderId="14" fillId="0" fontId="5" numFmtId="0" xfId="0" applyBorder="1" applyFont="1"/>
    <xf borderId="15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readingOrder="0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5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shrinkToFit="0" vertical="center" wrapText="1"/>
    </xf>
    <xf borderId="19" fillId="0" fontId="2" numFmtId="2" xfId="0" applyBorder="1" applyFont="1" applyNumberFormat="1"/>
    <xf borderId="1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21" fillId="2" fontId="2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horizontal="center" shrinkToFit="0" vertical="center" wrapText="1"/>
    </xf>
    <xf borderId="23" fillId="0" fontId="2" numFmtId="2" xfId="0" applyBorder="1" applyFont="1" applyNumberFormat="1"/>
    <xf borderId="5" fillId="0" fontId="2" numFmtId="0" xfId="0" applyAlignment="1" applyBorder="1" applyFont="1">
      <alignment horizontal="center" shrinkToFit="0" vertical="center" wrapText="1"/>
    </xf>
    <xf borderId="24" fillId="0" fontId="2" numFmtId="2" xfId="0" applyAlignment="1" applyBorder="1" applyFont="1" applyNumberFormat="1">
      <alignment horizontal="center" shrinkToFit="0" vertical="center" wrapText="1"/>
    </xf>
    <xf borderId="25" fillId="0" fontId="2" numFmtId="2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26" fillId="4" fontId="4" numFmtId="0" xfId="0" applyBorder="1" applyFill="1" applyFont="1"/>
    <xf borderId="27" fillId="4" fontId="2" numFmtId="0" xfId="0" applyBorder="1" applyFont="1"/>
    <xf borderId="17" fillId="4" fontId="2" numFmtId="0" xfId="0" applyBorder="1" applyFont="1"/>
    <xf borderId="28" fillId="4" fontId="2" numFmtId="0" xfId="0" applyBorder="1" applyFont="1"/>
    <xf borderId="1" fillId="4" fontId="2" numFmtId="0" xfId="0" applyBorder="1" applyFont="1"/>
    <xf borderId="29" fillId="4" fontId="2" numFmtId="0" xfId="0" applyBorder="1" applyFont="1"/>
    <xf borderId="28" fillId="4" fontId="6" numFmtId="0" xfId="0" applyBorder="1" applyFont="1"/>
    <xf borderId="28" fillId="4" fontId="4" numFmtId="0" xfId="0" applyBorder="1" applyFont="1"/>
    <xf borderId="16" fillId="4" fontId="2" numFmtId="0" xfId="0" applyBorder="1" applyFont="1"/>
    <xf borderId="30" fillId="4" fontId="2" numFmtId="0" xfId="0" applyBorder="1" applyFont="1"/>
    <xf borderId="31" fillId="4" fontId="2" numFmtId="0" xfId="0" applyBorder="1" applyFont="1"/>
    <xf borderId="0" fillId="0" fontId="1" numFmtId="0" xfId="0" applyFont="1"/>
    <xf borderId="32" fillId="0" fontId="2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6" fillId="0" fontId="5" numFmtId="0" xfId="0" applyBorder="1" applyFont="1"/>
    <xf borderId="37" fillId="0" fontId="5" numFmtId="0" xfId="0" applyBorder="1" applyFont="1"/>
    <xf borderId="38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0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15" fillId="5" fontId="2" numFmtId="0" xfId="0" applyAlignment="1" applyBorder="1" applyFill="1" applyFont="1">
      <alignment horizontal="center" shrinkToFit="0" vertical="center" wrapText="1"/>
    </xf>
    <xf borderId="39" fillId="5" fontId="2" numFmtId="0" xfId="0" applyAlignment="1" applyBorder="1" applyFon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horizontal="center" shrinkToFit="0" vertical="center" wrapText="1"/>
    </xf>
    <xf borderId="42" fillId="0" fontId="2" numFmtId="0" xfId="0" applyAlignment="1" applyBorder="1" applyFont="1">
      <alignment horizontal="center" shrinkToFit="0" vertical="center" wrapText="1"/>
    </xf>
    <xf borderId="15" fillId="5" fontId="2" numFmtId="0" xfId="0" applyAlignment="1" applyBorder="1" applyFont="1">
      <alignment horizontal="center" readingOrder="0" shrinkToFit="0" vertical="center" wrapText="1"/>
    </xf>
    <xf borderId="21" fillId="5" fontId="2" numFmtId="0" xfId="0" applyAlignment="1" applyBorder="1" applyFont="1">
      <alignment horizontal="center" shrinkToFit="0" vertical="center" wrapText="1"/>
    </xf>
    <xf borderId="44" fillId="5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400050</xdr:colOff>
      <xdr:row>16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</xdr:row>
      <xdr:rowOff>285750</xdr:rowOff>
    </xdr:from>
    <xdr:ext cx="838200" cy="952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6.33"/>
    <col customWidth="1" min="3" max="3" width="10.0"/>
    <col customWidth="1" min="4" max="12" width="7.89"/>
    <col customWidth="1" min="13" max="13" width="8.0"/>
    <col customWidth="1" min="14" max="26" width="11.0"/>
  </cols>
  <sheetData>
    <row r="1">
      <c r="A1" s="1" t="s">
        <v>0</v>
      </c>
      <c r="B1" s="2"/>
      <c r="C1" s="2"/>
    </row>
    <row r="2">
      <c r="A2" s="3" t="s">
        <v>1</v>
      </c>
      <c r="B2" s="2"/>
      <c r="C2" s="2"/>
    </row>
    <row r="3">
      <c r="B3" s="2"/>
      <c r="C3" s="2"/>
    </row>
    <row r="4">
      <c r="A4" s="4" t="s">
        <v>2</v>
      </c>
      <c r="B4" s="5">
        <v>112.0</v>
      </c>
      <c r="C4" s="2" t="s">
        <v>3</v>
      </c>
    </row>
    <row r="5"/>
    <row r="6">
      <c r="A6" s="6" t="s">
        <v>4</v>
      </c>
    </row>
    <row r="7"/>
    <row r="8" ht="15.75" customHeight="1">
      <c r="B8" s="2"/>
      <c r="C8" s="2"/>
      <c r="E8" s="7" t="s">
        <v>5</v>
      </c>
      <c r="F8" s="8"/>
      <c r="G8" s="8"/>
      <c r="H8" s="8"/>
      <c r="I8" s="8"/>
      <c r="J8" s="8"/>
      <c r="K8" s="8"/>
      <c r="L8" s="8"/>
      <c r="M8" s="9"/>
    </row>
    <row r="9" ht="105.75" customHeight="1">
      <c r="B9" s="2"/>
      <c r="C9" s="2"/>
      <c r="D9" s="10">
        <f>C10</f>
        <v>1220848</v>
      </c>
      <c r="E9" s="11">
        <f>C11</f>
        <v>1221919</v>
      </c>
      <c r="F9" s="11">
        <f>C12</f>
        <v>1240586</v>
      </c>
      <c r="G9" s="11">
        <f>C13</f>
        <v>1240588</v>
      </c>
      <c r="H9" s="11" t="str">
        <f>C14</f>
        <v>Student 5</v>
      </c>
      <c r="I9" s="11" t="str">
        <f>C15</f>
        <v>Student 6</v>
      </c>
      <c r="J9" s="11" t="str">
        <f>C16</f>
        <v>Student 7</v>
      </c>
      <c r="K9" s="11" t="str">
        <f>C17</f>
        <v>Student 8</v>
      </c>
      <c r="L9" s="12" t="s">
        <v>6</v>
      </c>
    </row>
    <row r="10">
      <c r="B10" s="13" t="s">
        <v>7</v>
      </c>
      <c r="C10" s="14">
        <v>1220848.0</v>
      </c>
      <c r="D10" s="15">
        <v>5.0</v>
      </c>
      <c r="E10" s="16">
        <v>5.0</v>
      </c>
      <c r="F10" s="17">
        <v>5.0</v>
      </c>
      <c r="G10" s="17">
        <v>5.0</v>
      </c>
      <c r="H10" s="18"/>
      <c r="I10" s="18"/>
      <c r="J10" s="18"/>
      <c r="K10" s="14"/>
      <c r="L10" s="19">
        <f t="shared" ref="L10:L17" si="1">AVERAGE(D10:K10)</f>
        <v>5</v>
      </c>
    </row>
    <row r="11">
      <c r="B11" s="20"/>
      <c r="C11" s="21">
        <v>1221919.0</v>
      </c>
      <c r="D11" s="22">
        <v>5.0</v>
      </c>
      <c r="E11" s="15">
        <v>5.0</v>
      </c>
      <c r="F11" s="23">
        <v>4.0</v>
      </c>
      <c r="G11" s="24">
        <v>5.0</v>
      </c>
      <c r="H11" s="21"/>
      <c r="I11" s="21"/>
      <c r="J11" s="21"/>
      <c r="K11" s="25"/>
      <c r="L11" s="26">
        <f t="shared" si="1"/>
        <v>4.75</v>
      </c>
    </row>
    <row r="12">
      <c r="B12" s="20"/>
      <c r="C12" s="21">
        <v>1240586.0</v>
      </c>
      <c r="D12" s="24">
        <v>5.0</v>
      </c>
      <c r="E12" s="22">
        <v>4.0</v>
      </c>
      <c r="F12" s="15">
        <v>4.0</v>
      </c>
      <c r="G12" s="23">
        <v>4.0</v>
      </c>
      <c r="H12" s="21"/>
      <c r="I12" s="21"/>
      <c r="J12" s="21"/>
      <c r="K12" s="25"/>
      <c r="L12" s="26">
        <f t="shared" si="1"/>
        <v>4.25</v>
      </c>
    </row>
    <row r="13">
      <c r="B13" s="20"/>
      <c r="C13" s="21">
        <v>1240588.0</v>
      </c>
      <c r="D13" s="24">
        <v>5.0</v>
      </c>
      <c r="E13" s="24">
        <v>5.0</v>
      </c>
      <c r="F13" s="22">
        <v>5.0</v>
      </c>
      <c r="G13" s="15">
        <v>5.0</v>
      </c>
      <c r="H13" s="27"/>
      <c r="I13" s="21"/>
      <c r="J13" s="21"/>
      <c r="K13" s="25"/>
      <c r="L13" s="26">
        <f t="shared" si="1"/>
        <v>5</v>
      </c>
    </row>
    <row r="14">
      <c r="B14" s="20"/>
      <c r="C14" s="21" t="s">
        <v>8</v>
      </c>
      <c r="D14" s="21"/>
      <c r="E14" s="21"/>
      <c r="F14" s="21"/>
      <c r="G14" s="28"/>
      <c r="H14" s="29"/>
      <c r="I14" s="27"/>
      <c r="J14" s="21"/>
      <c r="K14" s="25"/>
      <c r="L14" s="26" t="str">
        <f t="shared" si="1"/>
        <v>#DIV/0!</v>
      </c>
    </row>
    <row r="15">
      <c r="B15" s="20"/>
      <c r="C15" s="21" t="s">
        <v>9</v>
      </c>
      <c r="D15" s="21"/>
      <c r="E15" s="21"/>
      <c r="F15" s="21"/>
      <c r="G15" s="21"/>
      <c r="H15" s="28"/>
      <c r="I15" s="29"/>
      <c r="J15" s="27"/>
      <c r="K15" s="25"/>
      <c r="L15" s="26" t="str">
        <f t="shared" si="1"/>
        <v>#DIV/0!</v>
      </c>
    </row>
    <row r="16">
      <c r="B16" s="20"/>
      <c r="C16" s="21" t="s">
        <v>10</v>
      </c>
      <c r="D16" s="21"/>
      <c r="E16" s="21"/>
      <c r="F16" s="21"/>
      <c r="G16" s="21"/>
      <c r="H16" s="21"/>
      <c r="I16" s="28"/>
      <c r="J16" s="29"/>
      <c r="K16" s="25"/>
      <c r="L16" s="26" t="str">
        <f t="shared" si="1"/>
        <v>#DIV/0!</v>
      </c>
    </row>
    <row r="17">
      <c r="B17" s="30"/>
      <c r="C17" s="31" t="s">
        <v>11</v>
      </c>
      <c r="D17" s="31"/>
      <c r="E17" s="31"/>
      <c r="F17" s="31"/>
      <c r="G17" s="31"/>
      <c r="H17" s="31"/>
      <c r="I17" s="31"/>
      <c r="J17" s="31"/>
      <c r="K17" s="32"/>
      <c r="L17" s="33" t="str">
        <f t="shared" si="1"/>
        <v>#DIV/0!</v>
      </c>
    </row>
    <row r="18">
      <c r="B18" s="2"/>
      <c r="C18" s="34" t="s">
        <v>6</v>
      </c>
      <c r="D18" s="35">
        <f t="shared" ref="D18:K18" si="2">AVERAGE(D10:D17)</f>
        <v>5</v>
      </c>
      <c r="E18" s="35">
        <f t="shared" si="2"/>
        <v>4.75</v>
      </c>
      <c r="F18" s="35">
        <f t="shared" si="2"/>
        <v>4.5</v>
      </c>
      <c r="G18" s="35">
        <f t="shared" si="2"/>
        <v>4.75</v>
      </c>
      <c r="H18" s="35" t="str">
        <f t="shared" si="2"/>
        <v>#DIV/0!</v>
      </c>
      <c r="I18" s="35" t="str">
        <f t="shared" si="2"/>
        <v>#DIV/0!</v>
      </c>
      <c r="J18" s="35" t="str">
        <f t="shared" si="2"/>
        <v>#DIV/0!</v>
      </c>
      <c r="K18" s="36" t="str">
        <f t="shared" si="2"/>
        <v>#DIV/0!</v>
      </c>
      <c r="L18" s="37"/>
    </row>
    <row r="19"/>
    <row r="20">
      <c r="A20" s="38" t="s">
        <v>12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40"/>
    </row>
    <row r="21">
      <c r="A21" s="41" t="s">
        <v>13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>
      <c r="A22" s="44" t="s">
        <v>14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>
      <c r="A23" s="41" t="s">
        <v>15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>
      <c r="A25" s="45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>
      <c r="A26" s="41">
        <v>0.0</v>
      </c>
      <c r="B26" s="42" t="s">
        <v>17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>
      <c r="A27" s="41">
        <v>1.0</v>
      </c>
      <c r="B27" s="42" t="s">
        <v>18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>
      <c r="A28" s="41">
        <v>2.0</v>
      </c>
      <c r="B28" s="42" t="s">
        <v>19</v>
      </c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>
      <c r="A29" s="41">
        <v>3.0</v>
      </c>
      <c r="B29" s="42" t="s">
        <v>20</v>
      </c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>
      <c r="A30" s="41">
        <v>4.0</v>
      </c>
      <c r="B30" s="42" t="s">
        <v>21</v>
      </c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>
      <c r="A31" s="41">
        <v>5.0</v>
      </c>
      <c r="B31" s="42" t="s">
        <v>22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8"/>
    </row>
  </sheetData>
  <mergeCells count="2">
    <mergeCell ref="E8:M8"/>
    <mergeCell ref="B10:B17"/>
  </mergeCells>
  <dataValidations>
    <dataValidation type="list" allowBlank="1" showErrorMessage="1" sqref="D10:K17">
      <formula1>$A$26:$A$31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8.0"/>
    <col customWidth="1" min="3" max="3" width="20.11"/>
    <col customWidth="1" min="4" max="4" width="22.44"/>
    <col customWidth="1" min="5" max="10" width="27.44"/>
    <col customWidth="1" min="11" max="26" width="20.11"/>
  </cols>
  <sheetData>
    <row r="1">
      <c r="A1" s="49" t="s">
        <v>23</v>
      </c>
    </row>
    <row r="2"/>
    <row r="3">
      <c r="A3" s="13" t="s">
        <v>24</v>
      </c>
      <c r="B3" s="50" t="s">
        <v>25</v>
      </c>
      <c r="C3" s="50" t="s">
        <v>26</v>
      </c>
      <c r="D3" s="51" t="s">
        <v>27</v>
      </c>
      <c r="E3" s="52">
        <v>0.0</v>
      </c>
      <c r="F3" s="53">
        <v>1.0</v>
      </c>
      <c r="G3" s="53">
        <v>2.0</v>
      </c>
      <c r="H3" s="53">
        <v>3.0</v>
      </c>
      <c r="I3" s="53">
        <v>4.0</v>
      </c>
      <c r="J3" s="54">
        <v>5.0</v>
      </c>
    </row>
    <row r="4">
      <c r="A4" s="20"/>
      <c r="B4" s="55"/>
      <c r="C4" s="55"/>
      <c r="D4" s="56"/>
      <c r="E4" s="57" t="s">
        <v>28</v>
      </c>
      <c r="F4" s="58" t="s">
        <v>29</v>
      </c>
      <c r="G4" s="58" t="s">
        <v>30</v>
      </c>
      <c r="H4" s="58" t="s">
        <v>31</v>
      </c>
      <c r="I4" s="58" t="s">
        <v>32</v>
      </c>
      <c r="J4" s="59" t="s">
        <v>33</v>
      </c>
    </row>
    <row r="5">
      <c r="A5" s="60"/>
      <c r="B5" s="61"/>
      <c r="C5" s="61"/>
      <c r="D5" s="62"/>
      <c r="E5" s="63" t="s">
        <v>34</v>
      </c>
      <c r="F5" s="64" t="s">
        <v>35</v>
      </c>
      <c r="G5" s="64" t="s">
        <v>36</v>
      </c>
      <c r="H5" s="64" t="s">
        <v>37</v>
      </c>
      <c r="I5" s="64" t="s">
        <v>38</v>
      </c>
      <c r="J5" s="65" t="s">
        <v>39</v>
      </c>
    </row>
    <row r="6">
      <c r="A6" s="57" t="s">
        <v>40</v>
      </c>
      <c r="B6" s="66">
        <v>1221919.0</v>
      </c>
      <c r="C6" s="66">
        <v>5.0</v>
      </c>
      <c r="D6" s="67"/>
      <c r="E6" s="68" t="s">
        <v>34</v>
      </c>
      <c r="F6" s="69" t="s">
        <v>35</v>
      </c>
      <c r="G6" s="69" t="s">
        <v>36</v>
      </c>
      <c r="H6" s="69" t="s">
        <v>37</v>
      </c>
      <c r="I6" s="69" t="s">
        <v>38</v>
      </c>
      <c r="J6" s="70" t="s">
        <v>41</v>
      </c>
    </row>
    <row r="7">
      <c r="A7" s="57" t="s">
        <v>42</v>
      </c>
      <c r="B7" s="66">
        <v>1240588.0</v>
      </c>
      <c r="C7" s="71">
        <v>5.0</v>
      </c>
      <c r="D7" s="67"/>
      <c r="E7" s="57" t="s">
        <v>34</v>
      </c>
      <c r="F7" s="58" t="s">
        <v>35</v>
      </c>
      <c r="G7" s="58" t="s">
        <v>36</v>
      </c>
      <c r="H7" s="58" t="s">
        <v>37</v>
      </c>
      <c r="I7" s="58" t="s">
        <v>38</v>
      </c>
      <c r="J7" s="70" t="s">
        <v>41</v>
      </c>
    </row>
    <row r="8">
      <c r="A8" s="57" t="s">
        <v>43</v>
      </c>
      <c r="B8" s="66">
        <v>1240586.0</v>
      </c>
      <c r="C8" s="71">
        <v>5.0</v>
      </c>
      <c r="D8" s="67"/>
      <c r="E8" s="57" t="s">
        <v>34</v>
      </c>
      <c r="F8" s="58" t="s">
        <v>35</v>
      </c>
      <c r="G8" s="58" t="s">
        <v>36</v>
      </c>
      <c r="H8" s="58" t="s">
        <v>37</v>
      </c>
      <c r="I8" s="58" t="s">
        <v>38</v>
      </c>
      <c r="J8" s="70" t="s">
        <v>41</v>
      </c>
    </row>
    <row r="9">
      <c r="A9" s="57" t="s">
        <v>44</v>
      </c>
      <c r="B9" s="66">
        <v>1220848.0</v>
      </c>
      <c r="C9" s="71">
        <v>5.0</v>
      </c>
      <c r="D9" s="67"/>
      <c r="E9" s="57" t="s">
        <v>34</v>
      </c>
      <c r="F9" s="58" t="s">
        <v>35</v>
      </c>
      <c r="G9" s="58" t="s">
        <v>36</v>
      </c>
      <c r="H9" s="58" t="s">
        <v>37</v>
      </c>
      <c r="I9" s="58" t="s">
        <v>38</v>
      </c>
      <c r="J9" s="70" t="s">
        <v>41</v>
      </c>
    </row>
    <row r="10">
      <c r="A10" s="57" t="s">
        <v>45</v>
      </c>
      <c r="B10" s="66">
        <v>1221919.0</v>
      </c>
      <c r="C10" s="71">
        <v>5.0</v>
      </c>
      <c r="D10" s="67"/>
      <c r="E10" s="57" t="s">
        <v>34</v>
      </c>
      <c r="F10" s="58" t="s">
        <v>35</v>
      </c>
      <c r="G10" s="58" t="s">
        <v>36</v>
      </c>
      <c r="H10" s="58" t="s">
        <v>37</v>
      </c>
      <c r="I10" s="58" t="s">
        <v>38</v>
      </c>
      <c r="J10" s="70" t="s">
        <v>41</v>
      </c>
    </row>
    <row r="11">
      <c r="A11" s="57" t="s">
        <v>46</v>
      </c>
      <c r="B11" s="66">
        <v>1240588.0</v>
      </c>
      <c r="C11" s="71">
        <v>5.0</v>
      </c>
      <c r="D11" s="67"/>
      <c r="E11" s="57" t="s">
        <v>34</v>
      </c>
      <c r="F11" s="58" t="s">
        <v>35</v>
      </c>
      <c r="G11" s="58" t="s">
        <v>36</v>
      </c>
      <c r="H11" s="58" t="s">
        <v>37</v>
      </c>
      <c r="I11" s="58" t="s">
        <v>38</v>
      </c>
      <c r="J11" s="70" t="s">
        <v>41</v>
      </c>
    </row>
    <row r="12">
      <c r="A12" s="57" t="s">
        <v>47</v>
      </c>
      <c r="B12" s="66">
        <v>1240586.0</v>
      </c>
      <c r="C12" s="71">
        <v>5.0</v>
      </c>
      <c r="D12" s="67"/>
      <c r="E12" s="57" t="s">
        <v>34</v>
      </c>
      <c r="F12" s="58" t="s">
        <v>35</v>
      </c>
      <c r="G12" s="58" t="s">
        <v>36</v>
      </c>
      <c r="H12" s="58" t="s">
        <v>37</v>
      </c>
      <c r="I12" s="58" t="s">
        <v>38</v>
      </c>
      <c r="J12" s="70" t="s">
        <v>41</v>
      </c>
    </row>
    <row r="13">
      <c r="A13" s="57" t="s">
        <v>48</v>
      </c>
      <c r="B13" s="66"/>
      <c r="C13" s="66"/>
      <c r="D13" s="67" t="s">
        <v>49</v>
      </c>
      <c r="E13" s="57" t="s">
        <v>34</v>
      </c>
      <c r="F13" s="58" t="s">
        <v>35</v>
      </c>
      <c r="G13" s="58" t="s">
        <v>36</v>
      </c>
      <c r="H13" s="58" t="s">
        <v>37</v>
      </c>
      <c r="I13" s="58" t="s">
        <v>38</v>
      </c>
      <c r="J13" s="70" t="s">
        <v>41</v>
      </c>
    </row>
    <row r="14">
      <c r="A14" s="57" t="s">
        <v>50</v>
      </c>
      <c r="B14" s="66">
        <v>1220848.0</v>
      </c>
      <c r="C14" s="71">
        <v>5.0</v>
      </c>
      <c r="D14" s="67"/>
      <c r="E14" s="57" t="s">
        <v>34</v>
      </c>
      <c r="F14" s="58" t="s">
        <v>35</v>
      </c>
      <c r="G14" s="58" t="s">
        <v>36</v>
      </c>
      <c r="H14" s="58" t="s">
        <v>37</v>
      </c>
      <c r="I14" s="58" t="s">
        <v>38</v>
      </c>
      <c r="J14" s="70" t="s">
        <v>41</v>
      </c>
    </row>
    <row r="15">
      <c r="A15" s="57" t="s">
        <v>51</v>
      </c>
      <c r="B15" s="66">
        <v>1240588.0</v>
      </c>
      <c r="C15" s="71">
        <v>4.0</v>
      </c>
      <c r="D15" s="67"/>
      <c r="E15" s="57" t="s">
        <v>34</v>
      </c>
      <c r="F15" s="58" t="s">
        <v>35</v>
      </c>
      <c r="G15" s="58" t="s">
        <v>36</v>
      </c>
      <c r="H15" s="58" t="s">
        <v>37</v>
      </c>
      <c r="I15" s="58" t="s">
        <v>38</v>
      </c>
      <c r="J15" s="70" t="s">
        <v>41</v>
      </c>
    </row>
    <row r="16">
      <c r="A16" s="57" t="s">
        <v>52</v>
      </c>
      <c r="B16" s="66"/>
      <c r="C16" s="66"/>
      <c r="D16" s="67" t="s">
        <v>49</v>
      </c>
      <c r="E16" s="57" t="s">
        <v>34</v>
      </c>
      <c r="F16" s="58" t="s">
        <v>35</v>
      </c>
      <c r="G16" s="58" t="s">
        <v>36</v>
      </c>
      <c r="H16" s="58" t="s">
        <v>37</v>
      </c>
      <c r="I16" s="58" t="s">
        <v>38</v>
      </c>
      <c r="J16" s="70" t="s">
        <v>41</v>
      </c>
    </row>
    <row r="17">
      <c r="A17" s="57" t="s">
        <v>53</v>
      </c>
      <c r="B17" s="66">
        <v>1220848.0</v>
      </c>
      <c r="C17" s="71">
        <v>4.0</v>
      </c>
      <c r="D17" s="67"/>
      <c r="E17" s="57" t="s">
        <v>34</v>
      </c>
      <c r="F17" s="58" t="s">
        <v>35</v>
      </c>
      <c r="G17" s="58" t="s">
        <v>36</v>
      </c>
      <c r="H17" s="58" t="s">
        <v>37</v>
      </c>
      <c r="I17" s="58" t="s">
        <v>38</v>
      </c>
      <c r="J17" s="70" t="s">
        <v>41</v>
      </c>
    </row>
    <row r="18">
      <c r="A18" s="57"/>
      <c r="B18" s="66"/>
      <c r="C18" s="66"/>
      <c r="D18" s="67"/>
      <c r="E18" s="57" t="s">
        <v>34</v>
      </c>
      <c r="F18" s="58" t="s">
        <v>35</v>
      </c>
      <c r="G18" s="58" t="s">
        <v>36</v>
      </c>
      <c r="H18" s="58" t="s">
        <v>37</v>
      </c>
      <c r="I18" s="58" t="s">
        <v>38</v>
      </c>
      <c r="J18" s="70" t="s">
        <v>41</v>
      </c>
    </row>
    <row r="19">
      <c r="A19" s="57"/>
      <c r="B19" s="66"/>
      <c r="C19" s="66"/>
      <c r="D19" s="67"/>
      <c r="E19" s="57" t="s">
        <v>34</v>
      </c>
      <c r="F19" s="58" t="s">
        <v>35</v>
      </c>
      <c r="G19" s="58" t="s">
        <v>36</v>
      </c>
      <c r="H19" s="58" t="s">
        <v>37</v>
      </c>
      <c r="I19" s="58" t="s">
        <v>38</v>
      </c>
      <c r="J19" s="70" t="s">
        <v>41</v>
      </c>
    </row>
    <row r="20">
      <c r="A20" s="57"/>
      <c r="B20" s="66"/>
      <c r="C20" s="66"/>
      <c r="D20" s="67"/>
      <c r="E20" s="57" t="s">
        <v>34</v>
      </c>
      <c r="F20" s="58" t="s">
        <v>35</v>
      </c>
      <c r="G20" s="58" t="s">
        <v>36</v>
      </c>
      <c r="H20" s="58" t="s">
        <v>37</v>
      </c>
      <c r="I20" s="58" t="s">
        <v>38</v>
      </c>
      <c r="J20" s="70" t="s">
        <v>41</v>
      </c>
    </row>
    <row r="21">
      <c r="A21" s="57"/>
      <c r="B21" s="66"/>
      <c r="C21" s="66"/>
      <c r="D21" s="67"/>
      <c r="E21" s="57" t="s">
        <v>34</v>
      </c>
      <c r="F21" s="58" t="s">
        <v>35</v>
      </c>
      <c r="G21" s="58" t="s">
        <v>36</v>
      </c>
      <c r="H21" s="58" t="s">
        <v>37</v>
      </c>
      <c r="I21" s="58" t="s">
        <v>38</v>
      </c>
      <c r="J21" s="70" t="s">
        <v>41</v>
      </c>
    </row>
    <row r="22">
      <c r="A22" s="57"/>
      <c r="B22" s="66"/>
      <c r="C22" s="66"/>
      <c r="D22" s="67"/>
      <c r="E22" s="57" t="s">
        <v>34</v>
      </c>
      <c r="F22" s="58" t="s">
        <v>35</v>
      </c>
      <c r="G22" s="58" t="s">
        <v>36</v>
      </c>
      <c r="H22" s="58" t="s">
        <v>37</v>
      </c>
      <c r="I22" s="58" t="s">
        <v>38</v>
      </c>
      <c r="J22" s="70" t="s">
        <v>41</v>
      </c>
    </row>
    <row r="23">
      <c r="A23" s="57"/>
      <c r="B23" s="66"/>
      <c r="C23" s="66"/>
      <c r="D23" s="67"/>
      <c r="E23" s="57" t="s">
        <v>34</v>
      </c>
      <c r="F23" s="58" t="s">
        <v>35</v>
      </c>
      <c r="G23" s="58" t="s">
        <v>36</v>
      </c>
      <c r="H23" s="58" t="s">
        <v>37</v>
      </c>
      <c r="I23" s="58" t="s">
        <v>38</v>
      </c>
      <c r="J23" s="70" t="s">
        <v>41</v>
      </c>
    </row>
    <row r="24">
      <c r="A24" s="57"/>
      <c r="B24" s="66"/>
      <c r="C24" s="66"/>
      <c r="D24" s="67"/>
      <c r="E24" s="57" t="s">
        <v>34</v>
      </c>
      <c r="F24" s="58" t="s">
        <v>35</v>
      </c>
      <c r="G24" s="58" t="s">
        <v>36</v>
      </c>
      <c r="H24" s="58" t="s">
        <v>37</v>
      </c>
      <c r="I24" s="58" t="s">
        <v>38</v>
      </c>
      <c r="J24" s="70" t="s">
        <v>41</v>
      </c>
    </row>
    <row r="25">
      <c r="A25" s="57"/>
      <c r="B25" s="66"/>
      <c r="C25" s="66"/>
      <c r="D25" s="67"/>
      <c r="E25" s="57" t="s">
        <v>34</v>
      </c>
      <c r="F25" s="58" t="s">
        <v>35</v>
      </c>
      <c r="G25" s="58" t="s">
        <v>36</v>
      </c>
      <c r="H25" s="58" t="s">
        <v>37</v>
      </c>
      <c r="I25" s="58" t="s">
        <v>38</v>
      </c>
      <c r="J25" s="70" t="s">
        <v>41</v>
      </c>
    </row>
    <row r="26">
      <c r="A26" s="57"/>
      <c r="B26" s="66"/>
      <c r="C26" s="66"/>
      <c r="D26" s="67"/>
      <c r="E26" s="57" t="s">
        <v>34</v>
      </c>
      <c r="F26" s="58" t="s">
        <v>35</v>
      </c>
      <c r="G26" s="58" t="s">
        <v>36</v>
      </c>
      <c r="H26" s="58" t="s">
        <v>37</v>
      </c>
      <c r="I26" s="58" t="s">
        <v>38</v>
      </c>
      <c r="J26" s="70" t="s">
        <v>41</v>
      </c>
    </row>
    <row r="27">
      <c r="A27" s="57"/>
      <c r="B27" s="66"/>
      <c r="C27" s="66"/>
      <c r="D27" s="67"/>
      <c r="E27" s="57" t="s">
        <v>34</v>
      </c>
      <c r="F27" s="58" t="s">
        <v>35</v>
      </c>
      <c r="G27" s="58" t="s">
        <v>36</v>
      </c>
      <c r="H27" s="58" t="s">
        <v>37</v>
      </c>
      <c r="I27" s="58" t="s">
        <v>38</v>
      </c>
      <c r="J27" s="70" t="s">
        <v>41</v>
      </c>
    </row>
    <row r="28">
      <c r="A28" s="57"/>
      <c r="B28" s="66"/>
      <c r="C28" s="66"/>
      <c r="D28" s="67"/>
      <c r="E28" s="57" t="s">
        <v>34</v>
      </c>
      <c r="F28" s="58" t="s">
        <v>35</v>
      </c>
      <c r="G28" s="58" t="s">
        <v>36</v>
      </c>
      <c r="H28" s="58" t="s">
        <v>37</v>
      </c>
      <c r="I28" s="58" t="s">
        <v>38</v>
      </c>
      <c r="J28" s="70" t="s">
        <v>41</v>
      </c>
    </row>
    <row r="29">
      <c r="A29" s="57"/>
      <c r="B29" s="66"/>
      <c r="C29" s="66"/>
      <c r="D29" s="67"/>
      <c r="E29" s="57" t="s">
        <v>34</v>
      </c>
      <c r="F29" s="58" t="s">
        <v>35</v>
      </c>
      <c r="G29" s="58" t="s">
        <v>36</v>
      </c>
      <c r="H29" s="58" t="s">
        <v>37</v>
      </c>
      <c r="I29" s="58" t="s">
        <v>38</v>
      </c>
      <c r="J29" s="70" t="s">
        <v>41</v>
      </c>
    </row>
    <row r="30">
      <c r="A30" s="57" t="s">
        <v>54</v>
      </c>
      <c r="B30" s="66"/>
      <c r="C30" s="66"/>
      <c r="D30" s="67"/>
      <c r="E30" s="57" t="s">
        <v>34</v>
      </c>
      <c r="F30" s="58" t="s">
        <v>35</v>
      </c>
      <c r="G30" s="58" t="s">
        <v>36</v>
      </c>
      <c r="H30" s="58" t="s">
        <v>37</v>
      </c>
      <c r="I30" s="58" t="s">
        <v>38</v>
      </c>
      <c r="J30" s="70" t="s">
        <v>41</v>
      </c>
    </row>
    <row r="31">
      <c r="A31" s="57"/>
      <c r="B31" s="66"/>
      <c r="C31" s="66"/>
      <c r="D31" s="67"/>
      <c r="E31" s="57" t="s">
        <v>34</v>
      </c>
      <c r="F31" s="58" t="s">
        <v>35</v>
      </c>
      <c r="G31" s="58" t="s">
        <v>36</v>
      </c>
      <c r="H31" s="58" t="s">
        <v>37</v>
      </c>
      <c r="I31" s="58" t="s">
        <v>38</v>
      </c>
      <c r="J31" s="70" t="s">
        <v>41</v>
      </c>
    </row>
    <row r="32">
      <c r="A32" s="63"/>
      <c r="B32" s="72"/>
      <c r="C32" s="66"/>
      <c r="D32" s="73"/>
      <c r="E32" s="63" t="s">
        <v>34</v>
      </c>
      <c r="F32" s="64" t="s">
        <v>35</v>
      </c>
      <c r="G32" s="64" t="s">
        <v>36</v>
      </c>
      <c r="H32" s="64" t="s">
        <v>37</v>
      </c>
      <c r="I32" s="64" t="s">
        <v>38</v>
      </c>
      <c r="J32" s="70" t="s">
        <v>41</v>
      </c>
    </row>
  </sheetData>
  <mergeCells count="4">
    <mergeCell ref="A3:A5"/>
    <mergeCell ref="B3:B5"/>
    <mergeCell ref="C3:C5"/>
    <mergeCell ref="D3:D5"/>
  </mergeCells>
  <conditionalFormatting sqref="E6:J32">
    <cfRule type="expression" dxfId="0" priority="1" stopIfTrue="1">
      <formula>$C6=E$3</formula>
    </cfRule>
  </conditionalFormatting>
  <dataValidations>
    <dataValidation type="list" allowBlank="1" showErrorMessage="1" sqref="C6:C32">
      <formula1>$E$3:$J$3</formula1>
    </dataValidation>
    <dataValidation type="list" allowBlank="1" showErrorMessage="1" sqref="B6:B32">
      <formula1>'Group and Self Assessment'!$C$10:$C$17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2021-10-23T17:18:59Z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