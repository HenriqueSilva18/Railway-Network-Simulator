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gonca\IdeaProjects\sem2-pi-24.25-g112-repo\"/>
    </mc:Choice>
  </mc:AlternateContent>
  <xr:revisionPtr revIDLastSave="0" documentId="8_{E99A01D4-5B3C-4EA2-A777-C0DC1B9BC5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roup and Self Assessment" sheetId="1" r:id="rId1"/>
    <sheet name="User Stories" sheetId="2" r:id="rId2"/>
  </sheets>
  <externalReferences>
    <externalReference r:id="rId3"/>
  </externalReferences>
  <definedNames>
    <definedName name="ItemEval">[1]!Table2[ItemEval]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PAl2ezrMNVgdaSLMs7gw0/SIqw19XufJmCQ4PIcIU7E="/>
    </ext>
  </extLst>
</workbook>
</file>

<file path=xl/calcChain.xml><?xml version="1.0" encoding="utf-8"?>
<calcChain xmlns="http://schemas.openxmlformats.org/spreadsheetml/2006/main">
  <c r="K18" i="1" l="1"/>
  <c r="J18" i="1"/>
  <c r="I18" i="1"/>
  <c r="H18" i="1"/>
  <c r="G18" i="1"/>
  <c r="F18" i="1"/>
  <c r="E18" i="1"/>
  <c r="D18" i="1"/>
  <c r="L17" i="1"/>
  <c r="L16" i="1"/>
  <c r="L15" i="1"/>
  <c r="L14" i="1"/>
  <c r="L13" i="1"/>
  <c r="L12" i="1"/>
  <c r="L11" i="1"/>
  <c r="L10" i="1"/>
  <c r="K9" i="1"/>
  <c r="J9" i="1"/>
  <c r="I9" i="1"/>
  <c r="H9" i="1"/>
  <c r="G9" i="1"/>
  <c r="F9" i="1"/>
  <c r="E9" i="1"/>
  <c r="D9" i="1"/>
</calcChain>
</file>

<file path=xl/sharedStrings.xml><?xml version="1.0" encoding="utf-8"?>
<sst xmlns="http://schemas.openxmlformats.org/spreadsheetml/2006/main" count="223" uniqueCount="60">
  <si>
    <t>LAPR2 Project: Group/Team and Self-assessment v5.0</t>
  </si>
  <si>
    <t>Fill in the cells with a blue background</t>
  </si>
  <si>
    <t>TeamID #</t>
  </si>
  <si>
    <t>(e.g. 101)</t>
  </si>
  <si>
    <t>How do you grade yourself and your peers?</t>
  </si>
  <si>
    <t>List B</t>
  </si>
  <si>
    <t>Average</t>
  </si>
  <si>
    <t>List A</t>
  </si>
  <si>
    <t>Student 6</t>
  </si>
  <si>
    <t>Student 7</t>
  </si>
  <si>
    <t>Student 8</t>
  </si>
  <si>
    <t>Instructions:</t>
  </si>
  <si>
    <t>Write your student numbers in Colum C (row 10 to 17) - team members.</t>
  </si>
  <si>
    <t>The student from List A should assess the student on List B with a grade from 0 to 5.</t>
  </si>
  <si>
    <t>In the diagonal cells (lighter blue), Students should fill in their self-assessment.</t>
  </si>
  <si>
    <t>Assessment weight:</t>
  </si>
  <si>
    <t>0% - Unaceptable</t>
  </si>
  <si>
    <t>25% - Unsatisfactory</t>
  </si>
  <si>
    <t>50% - Acceptable</t>
  </si>
  <si>
    <t>75% - Good</t>
  </si>
  <si>
    <t>90% - Very Good</t>
  </si>
  <si>
    <t>100% - Excellent</t>
  </si>
  <si>
    <t>User Stories</t>
  </si>
  <si>
    <t>User Story #</t>
  </si>
  <si>
    <t>Student Responsible for User Story</t>
  </si>
  <si>
    <t>User Story Assessment
[0-5]</t>
  </si>
  <si>
    <t>Remarks</t>
  </si>
  <si>
    <t>Unacceptable / 
Not Implemented.</t>
  </si>
  <si>
    <t>Emerging / 
Implementation Attempt.</t>
  </si>
  <si>
    <t>Minimally Acceptable / 
Many Defects</t>
  </si>
  <si>
    <t>Acceptable /
 Little Defects</t>
  </si>
  <si>
    <t>Accomplished / 
Correct</t>
  </si>
  <si>
    <t>Exemplary</t>
  </si>
  <si>
    <t>No solution has been 
developed for the requirements </t>
  </si>
  <si>
    <t>Most of the requirements 
have not been met </t>
  </si>
  <si>
    <t>Most of the requirements 
were minimally fulfilled, 
although with some flaws </t>
  </si>
  <si>
    <t>All requirements have been 
met almost in their entirety </t>
  </si>
  <si>
    <t>All requirements have 
been met completely. </t>
  </si>
  <si>
    <t>The students have exceeded expectations </t>
  </si>
  <si>
    <t>US01</t>
  </si>
  <si>
    <t>The students  have exceeded expectations </t>
  </si>
  <si>
    <t>US02</t>
  </si>
  <si>
    <t>US03</t>
  </si>
  <si>
    <t>US04</t>
  </si>
  <si>
    <t>US05</t>
  </si>
  <si>
    <t>US06</t>
  </si>
  <si>
    <t>US07</t>
  </si>
  <si>
    <t>US08</t>
  </si>
  <si>
    <t>This US wasn't required of team</t>
  </si>
  <si>
    <t>US09</t>
  </si>
  <si>
    <t>US10</t>
  </si>
  <si>
    <t>US11</t>
  </si>
  <si>
    <t>US12</t>
  </si>
  <si>
    <t>User Manual (LAPR2)</t>
  </si>
  <si>
    <t>US13</t>
  </si>
  <si>
    <t>US14</t>
  </si>
  <si>
    <t>US15</t>
  </si>
  <si>
    <t>US16</t>
  </si>
  <si>
    <t>US17</t>
  </si>
  <si>
    <t>US18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</si>
</sst>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scheme val="minor"/>
    </font>
    <font>
      <b/>
      <sz val="16"/>
      <color theme="1"/>
      <name val="Calibri"/>
    </font>
    <font>
      <sz val="12"/>
      <color theme="1"/>
      <name val="Calibri"/>
    </font>
    <font>
      <b/>
      <sz val="12"/>
      <color theme="4"/>
      <name val="Calibri"/>
    </font>
    <font>
      <b/>
      <sz val="12"/>
      <color theme="1"/>
      <name val="Calibri"/>
    </font>
    <font>
      <sz val="12"/>
      <name val="Calibri"/>
    </font>
    <font>
      <sz val="12"/>
      <color rgb="FF000000"/>
      <name val="Calibri"/>
    </font>
    <font>
      <sz val="8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9CC2E5"/>
        <bgColor rgb="FF9CC2E5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</fills>
  <borders count="45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2" fillId="0" borderId="5" xfId="0" applyFont="1" applyBorder="1" applyAlignment="1">
      <alignment horizontal="center" vertical="center" textRotation="65" wrapText="1"/>
    </xf>
    <xf numFmtId="0" fontId="2" fillId="0" borderId="6" xfId="0" applyFont="1" applyBorder="1" applyAlignment="1">
      <alignment horizontal="center" vertical="center" textRotation="65" wrapText="1"/>
    </xf>
    <xf numFmtId="0" fontId="2" fillId="0" borderId="7" xfId="0" applyFont="1" applyBorder="1" applyAlignment="1">
      <alignment horizontal="center" vertical="center" textRotation="65" wrapText="1"/>
    </xf>
    <xf numFmtId="0" fontId="2" fillId="2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2" fontId="2" fillId="0" borderId="13" xfId="0" applyNumberFormat="1" applyFont="1" applyBorder="1"/>
    <xf numFmtId="0" fontId="2" fillId="2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2" fontId="2" fillId="0" borderId="19" xfId="0" applyNumberFormat="1" applyFont="1" applyBorder="1"/>
    <xf numFmtId="0" fontId="2" fillId="2" borderId="21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2" fontId="2" fillId="0" borderId="23" xfId="0" applyNumberFormat="1" applyFont="1" applyBorder="1"/>
    <xf numFmtId="0" fontId="2" fillId="0" borderId="5" xfId="0" applyFont="1" applyBorder="1" applyAlignment="1">
      <alignment horizontal="center" vertical="center" wrapText="1"/>
    </xf>
    <xf numFmtId="2" fontId="2" fillId="0" borderId="24" xfId="0" applyNumberFormat="1" applyFont="1" applyBorder="1" applyAlignment="1">
      <alignment horizontal="center" vertical="center" wrapText="1"/>
    </xf>
    <xf numFmtId="2" fontId="2" fillId="0" borderId="25" xfId="0" applyNumberFormat="1" applyFont="1" applyBorder="1" applyAlignment="1">
      <alignment horizontal="center" vertical="center" wrapText="1"/>
    </xf>
    <xf numFmtId="0" fontId="2" fillId="0" borderId="10" xfId="0" applyFont="1" applyBorder="1"/>
    <xf numFmtId="0" fontId="4" fillId="4" borderId="26" xfId="0" applyFont="1" applyFill="1" applyBorder="1"/>
    <xf numFmtId="0" fontId="2" fillId="4" borderId="27" xfId="0" applyFont="1" applyFill="1" applyBorder="1"/>
    <xf numFmtId="0" fontId="2" fillId="4" borderId="17" xfId="0" applyFont="1" applyFill="1" applyBorder="1"/>
    <xf numFmtId="0" fontId="2" fillId="4" borderId="28" xfId="0" applyFont="1" applyFill="1" applyBorder="1"/>
    <xf numFmtId="0" fontId="2" fillId="4" borderId="1" xfId="0" applyFont="1" applyFill="1" applyBorder="1"/>
    <xf numFmtId="0" fontId="2" fillId="4" borderId="29" xfId="0" applyFont="1" applyFill="1" applyBorder="1"/>
    <xf numFmtId="0" fontId="6" fillId="4" borderId="28" xfId="0" applyFont="1" applyFill="1" applyBorder="1"/>
    <xf numFmtId="0" fontId="4" fillId="4" borderId="28" xfId="0" applyFont="1" applyFill="1" applyBorder="1"/>
    <xf numFmtId="0" fontId="2" fillId="4" borderId="16" xfId="0" applyFont="1" applyFill="1" applyBorder="1"/>
    <xf numFmtId="0" fontId="2" fillId="4" borderId="30" xfId="0" applyFont="1" applyFill="1" applyBorder="1"/>
    <xf numFmtId="0" fontId="2" fillId="4" borderId="31" xfId="0" applyFont="1" applyFill="1" applyBorder="1"/>
    <xf numFmtId="0" fontId="1" fillId="0" borderId="0" xfId="0" applyFont="1"/>
    <xf numFmtId="0" fontId="2" fillId="0" borderId="34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2" fillId="0" borderId="43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5" borderId="15" xfId="0" applyFont="1" applyFill="1" applyBorder="1" applyAlignment="1">
      <alignment horizontal="center" vertical="center" wrapText="1"/>
    </xf>
    <xf numFmtId="0" fontId="2" fillId="5" borderId="39" xfId="0" applyFont="1" applyFill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0" fontId="2" fillId="5" borderId="21" xfId="0" applyFont="1" applyFill="1" applyBorder="1" applyAlignment="1">
      <alignment horizontal="center" vertical="center" wrapText="1"/>
    </xf>
    <xf numFmtId="0" fontId="2" fillId="5" borderId="44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3" xfId="0" applyFont="1" applyBorder="1"/>
    <xf numFmtId="0" fontId="5" fillId="0" borderId="4" xfId="0" applyFont="1" applyBorder="1"/>
    <xf numFmtId="0" fontId="2" fillId="0" borderId="8" xfId="0" applyFont="1" applyBorder="1" applyAlignment="1">
      <alignment horizontal="center" vertical="center" wrapText="1"/>
    </xf>
    <xf numFmtId="0" fontId="5" fillId="0" borderId="14" xfId="0" applyFont="1" applyBorder="1"/>
    <xf numFmtId="0" fontId="5" fillId="0" borderId="20" xfId="0" applyFont="1" applyBorder="1"/>
    <xf numFmtId="0" fontId="5" fillId="0" borderId="40" xfId="0" applyFont="1" applyBorder="1"/>
    <xf numFmtId="0" fontId="2" fillId="0" borderId="32" xfId="0" applyFont="1" applyBorder="1" applyAlignment="1">
      <alignment horizontal="center" vertical="center" wrapText="1"/>
    </xf>
    <xf numFmtId="0" fontId="5" fillId="0" borderId="36" xfId="0" applyFont="1" applyBorder="1"/>
    <xf numFmtId="0" fontId="5" fillId="0" borderId="41" xfId="0" applyFont="1" applyBorder="1"/>
    <xf numFmtId="0" fontId="2" fillId="0" borderId="33" xfId="0" applyFont="1" applyBorder="1" applyAlignment="1">
      <alignment horizontal="center" vertical="center" wrapText="1"/>
    </xf>
    <xf numFmtId="0" fontId="5" fillId="0" borderId="37" xfId="0" applyFont="1" applyBorder="1"/>
    <xf numFmtId="0" fontId="5" fillId="0" borderId="42" xfId="0" applyFont="1" applyBorder="1"/>
  </cellXfs>
  <cellStyles count="1">
    <cellStyle name="Normal" xfId="0" builtinId="0"/>
  </cellStyles>
  <dxfs count="1"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400050</xdr:colOff>
      <xdr:row>16</xdr:row>
      <xdr:rowOff>0</xdr:rowOff>
    </xdr:from>
    <xdr:ext cx="0" cy="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8</xdr:row>
      <xdr:rowOff>285750</xdr:rowOff>
    </xdr:from>
    <xdr:ext cx="838200" cy="9525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isepipp.sharepoint.com/Users/nuno/Downloads/assessmentGridLAPR2_Class1XX_TeamGYY_Sprint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print D-Self&amp;PeerEvaluation"/>
      <sheetName val="assessmentGridLAPR2_Class1XX_Te"/>
    </sheetNames>
    <sheetDataSet>
      <sheetData sheetId="0"/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tabSelected="1" topLeftCell="A6" workbookViewId="0">
      <selection activeCell="Q13" sqref="Q13"/>
    </sheetView>
  </sheetViews>
  <sheetFormatPr defaultColWidth="11.19921875" defaultRowHeight="15" customHeight="1" x14ac:dyDescent="0.3"/>
  <cols>
    <col min="1" max="1" width="11" customWidth="1"/>
    <col min="2" max="2" width="6.296875" customWidth="1"/>
    <col min="3" max="3" width="10" customWidth="1"/>
    <col min="4" max="12" width="7.8984375" customWidth="1"/>
    <col min="13" max="13" width="8" customWidth="1"/>
    <col min="14" max="26" width="11" customWidth="1"/>
  </cols>
  <sheetData>
    <row r="1" spans="1:13" ht="21" x14ac:dyDescent="0.3">
      <c r="A1" s="1" t="s">
        <v>0</v>
      </c>
      <c r="B1" s="2"/>
      <c r="C1" s="2"/>
    </row>
    <row r="2" spans="1:13" ht="15.6" x14ac:dyDescent="0.3">
      <c r="A2" s="3" t="s">
        <v>1</v>
      </c>
      <c r="B2" s="2"/>
      <c r="C2" s="2"/>
    </row>
    <row r="3" spans="1:13" ht="15.6" x14ac:dyDescent="0.3">
      <c r="B3" s="2"/>
      <c r="C3" s="2"/>
    </row>
    <row r="4" spans="1:13" ht="15.6" x14ac:dyDescent="0.3">
      <c r="A4" s="4" t="s">
        <v>2</v>
      </c>
      <c r="B4" s="5">
        <v>112</v>
      </c>
      <c r="C4" s="2" t="s">
        <v>3</v>
      </c>
    </row>
    <row r="5" spans="1:13" ht="15.6" x14ac:dyDescent="0.3"/>
    <row r="6" spans="1:13" ht="15.6" x14ac:dyDescent="0.3">
      <c r="A6" s="6" t="s">
        <v>4</v>
      </c>
    </row>
    <row r="7" spans="1:13" ht="15.6" x14ac:dyDescent="0.3"/>
    <row r="8" spans="1:13" ht="15.75" customHeight="1" x14ac:dyDescent="0.3">
      <c r="B8" s="2"/>
      <c r="C8" s="2"/>
      <c r="E8" s="55" t="s">
        <v>5</v>
      </c>
      <c r="F8" s="56"/>
      <c r="G8" s="56"/>
      <c r="H8" s="56"/>
      <c r="I8" s="56"/>
      <c r="J8" s="56"/>
      <c r="K8" s="56"/>
      <c r="L8" s="56"/>
      <c r="M8" s="57"/>
    </row>
    <row r="9" spans="1:13" ht="105.75" customHeight="1" x14ac:dyDescent="0.3">
      <c r="B9" s="2"/>
      <c r="C9" s="2"/>
      <c r="D9" s="7">
        <f>C10</f>
        <v>1220848</v>
      </c>
      <c r="E9" s="8">
        <f>C11</f>
        <v>1221919</v>
      </c>
      <c r="F9" s="8">
        <f>C12</f>
        <v>1240586</v>
      </c>
      <c r="G9" s="8">
        <f>C13</f>
        <v>1240588</v>
      </c>
      <c r="H9" s="8">
        <f>C14</f>
        <v>1232162</v>
      </c>
      <c r="I9" s="8" t="str">
        <f>C15</f>
        <v>Student 6</v>
      </c>
      <c r="J9" s="8" t="str">
        <f>C16</f>
        <v>Student 7</v>
      </c>
      <c r="K9" s="8" t="str">
        <f>C17</f>
        <v>Student 8</v>
      </c>
      <c r="L9" s="9" t="s">
        <v>6</v>
      </c>
    </row>
    <row r="10" spans="1:13" ht="16.2" thickBot="1" x14ac:dyDescent="0.35">
      <c r="B10" s="58" t="s">
        <v>7</v>
      </c>
      <c r="C10" s="10">
        <v>1220848</v>
      </c>
      <c r="D10" s="11">
        <v>5</v>
      </c>
      <c r="E10" s="12">
        <v>5</v>
      </c>
      <c r="F10" s="13">
        <v>4</v>
      </c>
      <c r="G10" s="13">
        <v>4</v>
      </c>
      <c r="H10" s="13">
        <v>5</v>
      </c>
      <c r="I10" s="13"/>
      <c r="J10" s="13"/>
      <c r="K10" s="10"/>
      <c r="L10" s="14">
        <f t="shared" ref="L10:L17" si="0">AVERAGE(D10:K10)</f>
        <v>4.5999999999999996</v>
      </c>
    </row>
    <row r="11" spans="1:13" ht="16.2" thickBot="1" x14ac:dyDescent="0.35">
      <c r="B11" s="59"/>
      <c r="C11" s="15">
        <v>1221919</v>
      </c>
      <c r="D11" s="16">
        <v>5</v>
      </c>
      <c r="E11" s="11">
        <v>5</v>
      </c>
      <c r="F11" s="17">
        <v>4</v>
      </c>
      <c r="G11" s="15">
        <v>4</v>
      </c>
      <c r="H11" s="13">
        <v>5</v>
      </c>
      <c r="I11" s="15"/>
      <c r="J11" s="15"/>
      <c r="K11" s="18"/>
      <c r="L11" s="19">
        <f t="shared" si="0"/>
        <v>4.5999999999999996</v>
      </c>
    </row>
    <row r="12" spans="1:13" ht="16.2" thickBot="1" x14ac:dyDescent="0.35">
      <c r="B12" s="59"/>
      <c r="C12" s="15">
        <v>1240586</v>
      </c>
      <c r="D12" s="15">
        <v>5</v>
      </c>
      <c r="E12" s="16">
        <v>5</v>
      </c>
      <c r="F12" s="11">
        <v>5</v>
      </c>
      <c r="G12" s="17">
        <v>5</v>
      </c>
      <c r="H12" s="13">
        <v>5</v>
      </c>
      <c r="I12" s="15"/>
      <c r="J12" s="15"/>
      <c r="K12" s="18"/>
      <c r="L12" s="19">
        <f t="shared" si="0"/>
        <v>5</v>
      </c>
    </row>
    <row r="13" spans="1:13" ht="16.2" thickBot="1" x14ac:dyDescent="0.35">
      <c r="B13" s="59"/>
      <c r="C13" s="15">
        <v>1240588</v>
      </c>
      <c r="D13" s="15">
        <v>5</v>
      </c>
      <c r="E13" s="15">
        <v>5</v>
      </c>
      <c r="F13" s="16">
        <v>5</v>
      </c>
      <c r="G13" s="11">
        <v>5</v>
      </c>
      <c r="H13" s="13">
        <v>5</v>
      </c>
      <c r="I13" s="15"/>
      <c r="J13" s="15"/>
      <c r="K13" s="18"/>
      <c r="L13" s="19">
        <f t="shared" si="0"/>
        <v>5</v>
      </c>
    </row>
    <row r="14" spans="1:13" ht="16.2" thickBot="1" x14ac:dyDescent="0.35">
      <c r="B14" s="59"/>
      <c r="C14" s="15">
        <v>1232162</v>
      </c>
      <c r="D14" s="15">
        <v>5</v>
      </c>
      <c r="E14" s="15">
        <v>5</v>
      </c>
      <c r="F14" s="15">
        <v>5</v>
      </c>
      <c r="G14" s="15">
        <v>5</v>
      </c>
      <c r="H14" s="13">
        <v>5</v>
      </c>
      <c r="I14" s="17"/>
      <c r="J14" s="15"/>
      <c r="K14" s="18"/>
      <c r="L14" s="19">
        <f t="shared" si="0"/>
        <v>5</v>
      </c>
    </row>
    <row r="15" spans="1:13" ht="16.2" thickBot="1" x14ac:dyDescent="0.35">
      <c r="B15" s="59"/>
      <c r="C15" s="15" t="s">
        <v>8</v>
      </c>
      <c r="D15" s="15"/>
      <c r="E15" s="15"/>
      <c r="F15" s="15"/>
      <c r="G15" s="15"/>
      <c r="H15" s="16"/>
      <c r="I15" s="11"/>
      <c r="J15" s="17"/>
      <c r="K15" s="18"/>
      <c r="L15" s="19" t="e">
        <f t="shared" si="0"/>
        <v>#DIV/0!</v>
      </c>
    </row>
    <row r="16" spans="1:13" ht="15.6" x14ac:dyDescent="0.3">
      <c r="B16" s="59"/>
      <c r="C16" s="15" t="s">
        <v>9</v>
      </c>
      <c r="D16" s="15"/>
      <c r="E16" s="15"/>
      <c r="F16" s="15"/>
      <c r="G16" s="15"/>
      <c r="H16" s="15"/>
      <c r="I16" s="16"/>
      <c r="J16" s="11"/>
      <c r="K16" s="18"/>
      <c r="L16" s="19" t="e">
        <f t="shared" si="0"/>
        <v>#DIV/0!</v>
      </c>
    </row>
    <row r="17" spans="1:12" ht="15.6" x14ac:dyDescent="0.3">
      <c r="B17" s="60"/>
      <c r="C17" s="20" t="s">
        <v>10</v>
      </c>
      <c r="D17" s="20"/>
      <c r="E17" s="20"/>
      <c r="F17" s="20"/>
      <c r="G17" s="20"/>
      <c r="H17" s="20"/>
      <c r="I17" s="20"/>
      <c r="J17" s="20"/>
      <c r="K17" s="21"/>
      <c r="L17" s="22" t="e">
        <f t="shared" si="0"/>
        <v>#DIV/0!</v>
      </c>
    </row>
    <row r="18" spans="1:12" ht="15.6" x14ac:dyDescent="0.3">
      <c r="B18" s="2"/>
      <c r="C18" s="23" t="s">
        <v>6</v>
      </c>
      <c r="D18" s="24">
        <f t="shared" ref="D18:K18" si="1">AVERAGE(D10:D17)</f>
        <v>5</v>
      </c>
      <c r="E18" s="24">
        <f t="shared" si="1"/>
        <v>5</v>
      </c>
      <c r="F18" s="24">
        <f t="shared" si="1"/>
        <v>4.5999999999999996</v>
      </c>
      <c r="G18" s="24">
        <f t="shared" si="1"/>
        <v>4.5999999999999996</v>
      </c>
      <c r="H18" s="24">
        <f t="shared" si="1"/>
        <v>5</v>
      </c>
      <c r="I18" s="24" t="e">
        <f t="shared" si="1"/>
        <v>#DIV/0!</v>
      </c>
      <c r="J18" s="24" t="e">
        <f t="shared" si="1"/>
        <v>#DIV/0!</v>
      </c>
      <c r="K18" s="25" t="e">
        <f t="shared" si="1"/>
        <v>#DIV/0!</v>
      </c>
      <c r="L18" s="26"/>
    </row>
    <row r="19" spans="1:12" ht="15.6" x14ac:dyDescent="0.3"/>
    <row r="20" spans="1:12" ht="15.6" x14ac:dyDescent="0.3">
      <c r="A20" s="27" t="s">
        <v>11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9"/>
    </row>
    <row r="21" spans="1:12" ht="15.6" x14ac:dyDescent="0.3">
      <c r="A21" s="30" t="s">
        <v>12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2"/>
    </row>
    <row r="22" spans="1:12" ht="15.6" x14ac:dyDescent="0.3">
      <c r="A22" s="33" t="s">
        <v>13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2"/>
    </row>
    <row r="23" spans="1:12" ht="15.6" x14ac:dyDescent="0.3">
      <c r="A23" s="30" t="s">
        <v>14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2"/>
    </row>
    <row r="24" spans="1:12" ht="15.6" x14ac:dyDescent="0.3">
      <c r="A24" s="30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2"/>
    </row>
    <row r="25" spans="1:12" ht="15.6" x14ac:dyDescent="0.3">
      <c r="A25" s="34" t="s">
        <v>15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2"/>
    </row>
    <row r="26" spans="1:12" ht="15.6" x14ac:dyDescent="0.3">
      <c r="A26" s="30">
        <v>0</v>
      </c>
      <c r="B26" s="31" t="s">
        <v>16</v>
      </c>
      <c r="C26" s="31"/>
      <c r="D26" s="31"/>
      <c r="E26" s="31"/>
      <c r="F26" s="31"/>
      <c r="G26" s="31"/>
      <c r="H26" s="31"/>
      <c r="I26" s="31"/>
      <c r="J26" s="31"/>
      <c r="K26" s="31"/>
      <c r="L26" s="32"/>
    </row>
    <row r="27" spans="1:12" ht="15.6" x14ac:dyDescent="0.3">
      <c r="A27" s="30">
        <v>1</v>
      </c>
      <c r="B27" s="31" t="s">
        <v>17</v>
      </c>
      <c r="C27" s="31"/>
      <c r="D27" s="31"/>
      <c r="E27" s="31"/>
      <c r="F27" s="31"/>
      <c r="G27" s="31"/>
      <c r="H27" s="31"/>
      <c r="I27" s="31"/>
      <c r="J27" s="31"/>
      <c r="K27" s="31"/>
      <c r="L27" s="32"/>
    </row>
    <row r="28" spans="1:12" ht="15.6" x14ac:dyDescent="0.3">
      <c r="A28" s="30">
        <v>2</v>
      </c>
      <c r="B28" s="31" t="s">
        <v>18</v>
      </c>
      <c r="C28" s="31"/>
      <c r="D28" s="31"/>
      <c r="E28" s="31"/>
      <c r="F28" s="31"/>
      <c r="G28" s="31"/>
      <c r="H28" s="31"/>
      <c r="I28" s="31"/>
      <c r="J28" s="31"/>
      <c r="K28" s="31"/>
      <c r="L28" s="32"/>
    </row>
    <row r="29" spans="1:12" ht="15.6" x14ac:dyDescent="0.3">
      <c r="A29" s="30">
        <v>3</v>
      </c>
      <c r="B29" s="31" t="s">
        <v>19</v>
      </c>
      <c r="C29" s="31"/>
      <c r="D29" s="31"/>
      <c r="E29" s="31"/>
      <c r="F29" s="31"/>
      <c r="G29" s="31"/>
      <c r="H29" s="31"/>
      <c r="I29" s="31"/>
      <c r="J29" s="31"/>
      <c r="K29" s="31"/>
      <c r="L29" s="32"/>
    </row>
    <row r="30" spans="1:12" ht="15.6" x14ac:dyDescent="0.3">
      <c r="A30" s="30">
        <v>4</v>
      </c>
      <c r="B30" s="31" t="s">
        <v>20</v>
      </c>
      <c r="C30" s="31"/>
      <c r="D30" s="31"/>
      <c r="E30" s="31"/>
      <c r="F30" s="31"/>
      <c r="G30" s="31"/>
      <c r="H30" s="31"/>
      <c r="I30" s="31"/>
      <c r="J30" s="31"/>
      <c r="K30" s="31"/>
      <c r="L30" s="32"/>
    </row>
    <row r="31" spans="1:12" ht="15.6" x14ac:dyDescent="0.3">
      <c r="A31" s="30">
        <v>5</v>
      </c>
      <c r="B31" s="31" t="s">
        <v>21</v>
      </c>
      <c r="C31" s="31"/>
      <c r="D31" s="31"/>
      <c r="E31" s="31"/>
      <c r="F31" s="31"/>
      <c r="G31" s="31"/>
      <c r="H31" s="31"/>
      <c r="I31" s="31"/>
      <c r="J31" s="31"/>
      <c r="K31" s="31"/>
      <c r="L31" s="32"/>
    </row>
    <row r="32" spans="1:12" ht="15.6" x14ac:dyDescent="0.3">
      <c r="A32" s="35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7"/>
    </row>
  </sheetData>
  <mergeCells count="2">
    <mergeCell ref="E8:M8"/>
    <mergeCell ref="B10:B17"/>
  </mergeCells>
  <dataValidations count="1">
    <dataValidation type="list" allowBlank="1" showErrorMessage="1" sqref="D10:K17" xr:uid="{00000000-0002-0000-0000-000000000000}">
      <formula1>$A$26:$A$31</formula1>
    </dataValidation>
  </dataValidation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2"/>
  <sheetViews>
    <sheetView topLeftCell="A10" workbookViewId="0">
      <selection activeCell="A18" sqref="A18"/>
    </sheetView>
  </sheetViews>
  <sheetFormatPr defaultColWidth="11.19921875" defaultRowHeight="15" customHeight="1" x14ac:dyDescent="0.3"/>
  <cols>
    <col min="1" max="1" width="11.09765625" customWidth="1"/>
    <col min="2" max="2" width="18" customWidth="1"/>
    <col min="3" max="3" width="20.09765625" customWidth="1"/>
    <col min="4" max="4" width="22.3984375" customWidth="1"/>
    <col min="5" max="10" width="27.3984375" customWidth="1"/>
    <col min="11" max="26" width="20.09765625" customWidth="1"/>
  </cols>
  <sheetData>
    <row r="1" spans="1:10" ht="15" customHeight="1" x14ac:dyDescent="0.4">
      <c r="A1" s="38" t="s">
        <v>22</v>
      </c>
    </row>
    <row r="2" spans="1:10" x14ac:dyDescent="0.3"/>
    <row r="3" spans="1:10" x14ac:dyDescent="0.3">
      <c r="A3" s="58" t="s">
        <v>23</v>
      </c>
      <c r="B3" s="62" t="s">
        <v>24</v>
      </c>
      <c r="C3" s="62" t="s">
        <v>25</v>
      </c>
      <c r="D3" s="65" t="s">
        <v>26</v>
      </c>
      <c r="E3" s="39">
        <v>0</v>
      </c>
      <c r="F3" s="40">
        <v>1</v>
      </c>
      <c r="G3" s="40">
        <v>2</v>
      </c>
      <c r="H3" s="40">
        <v>3</v>
      </c>
      <c r="I3" s="40">
        <v>4</v>
      </c>
      <c r="J3" s="41">
        <v>5</v>
      </c>
    </row>
    <row r="4" spans="1:10" x14ac:dyDescent="0.3">
      <c r="A4" s="59"/>
      <c r="B4" s="63"/>
      <c r="C4" s="63"/>
      <c r="D4" s="66"/>
      <c r="E4" s="42" t="s">
        <v>27</v>
      </c>
      <c r="F4" s="43" t="s">
        <v>28</v>
      </c>
      <c r="G4" s="43" t="s">
        <v>29</v>
      </c>
      <c r="H4" s="43" t="s">
        <v>30</v>
      </c>
      <c r="I4" s="43" t="s">
        <v>31</v>
      </c>
      <c r="J4" s="44" t="s">
        <v>32</v>
      </c>
    </row>
    <row r="5" spans="1:10" x14ac:dyDescent="0.3">
      <c r="A5" s="61"/>
      <c r="B5" s="64"/>
      <c r="C5" s="64"/>
      <c r="D5" s="67"/>
      <c r="E5" s="45" t="s">
        <v>33</v>
      </c>
      <c r="F5" s="46" t="s">
        <v>34</v>
      </c>
      <c r="G5" s="46" t="s">
        <v>35</v>
      </c>
      <c r="H5" s="46" t="s">
        <v>36</v>
      </c>
      <c r="I5" s="46" t="s">
        <v>37</v>
      </c>
      <c r="J5" s="47" t="s">
        <v>38</v>
      </c>
    </row>
    <row r="6" spans="1:10" x14ac:dyDescent="0.3">
      <c r="A6" s="42" t="s">
        <v>39</v>
      </c>
      <c r="B6" s="48">
        <v>1221919</v>
      </c>
      <c r="C6" s="48">
        <v>5</v>
      </c>
      <c r="D6" s="49"/>
      <c r="E6" s="50" t="s">
        <v>33</v>
      </c>
      <c r="F6" s="51" t="s">
        <v>34</v>
      </c>
      <c r="G6" s="51" t="s">
        <v>35</v>
      </c>
      <c r="H6" s="51" t="s">
        <v>36</v>
      </c>
      <c r="I6" s="51" t="s">
        <v>37</v>
      </c>
      <c r="J6" s="52" t="s">
        <v>40</v>
      </c>
    </row>
    <row r="7" spans="1:10" x14ac:dyDescent="0.3">
      <c r="A7" s="42" t="s">
        <v>41</v>
      </c>
      <c r="B7" s="48">
        <v>1240588</v>
      </c>
      <c r="C7" s="48">
        <v>5</v>
      </c>
      <c r="D7" s="49"/>
      <c r="E7" s="42" t="s">
        <v>33</v>
      </c>
      <c r="F7" s="43" t="s">
        <v>34</v>
      </c>
      <c r="G7" s="43" t="s">
        <v>35</v>
      </c>
      <c r="H7" s="43" t="s">
        <v>36</v>
      </c>
      <c r="I7" s="43" t="s">
        <v>37</v>
      </c>
      <c r="J7" s="52" t="s">
        <v>40</v>
      </c>
    </row>
    <row r="8" spans="1:10" x14ac:dyDescent="0.3">
      <c r="A8" s="42" t="s">
        <v>42</v>
      </c>
      <c r="B8" s="48">
        <v>1240586</v>
      </c>
      <c r="C8" s="48">
        <v>5</v>
      </c>
      <c r="D8" s="49"/>
      <c r="E8" s="42" t="s">
        <v>33</v>
      </c>
      <c r="F8" s="43" t="s">
        <v>34</v>
      </c>
      <c r="G8" s="43" t="s">
        <v>35</v>
      </c>
      <c r="H8" s="43" t="s">
        <v>36</v>
      </c>
      <c r="I8" s="43" t="s">
        <v>37</v>
      </c>
      <c r="J8" s="52" t="s">
        <v>40</v>
      </c>
    </row>
    <row r="9" spans="1:10" x14ac:dyDescent="0.3">
      <c r="A9" s="42" t="s">
        <v>43</v>
      </c>
      <c r="B9" s="48">
        <v>1220848</v>
      </c>
      <c r="C9" s="48">
        <v>5</v>
      </c>
      <c r="D9" s="49"/>
      <c r="E9" s="42" t="s">
        <v>33</v>
      </c>
      <c r="F9" s="43" t="s">
        <v>34</v>
      </c>
      <c r="G9" s="43" t="s">
        <v>35</v>
      </c>
      <c r="H9" s="43" t="s">
        <v>36</v>
      </c>
      <c r="I9" s="43" t="s">
        <v>37</v>
      </c>
      <c r="J9" s="52" t="s">
        <v>40</v>
      </c>
    </row>
    <row r="10" spans="1:10" x14ac:dyDescent="0.3">
      <c r="A10" s="42" t="s">
        <v>44</v>
      </c>
      <c r="B10" s="48">
        <v>1221919</v>
      </c>
      <c r="C10" s="48">
        <v>5</v>
      </c>
      <c r="D10" s="49"/>
      <c r="E10" s="42" t="s">
        <v>33</v>
      </c>
      <c r="F10" s="43" t="s">
        <v>34</v>
      </c>
      <c r="G10" s="43" t="s">
        <v>35</v>
      </c>
      <c r="H10" s="43" t="s">
        <v>36</v>
      </c>
      <c r="I10" s="43" t="s">
        <v>37</v>
      </c>
      <c r="J10" s="52" t="s">
        <v>40</v>
      </c>
    </row>
    <row r="11" spans="1:10" x14ac:dyDescent="0.3">
      <c r="A11" s="42" t="s">
        <v>45</v>
      </c>
      <c r="B11" s="48">
        <v>1240588</v>
      </c>
      <c r="C11" s="48">
        <v>5</v>
      </c>
      <c r="D11" s="49"/>
      <c r="E11" s="42" t="s">
        <v>33</v>
      </c>
      <c r="F11" s="43" t="s">
        <v>34</v>
      </c>
      <c r="G11" s="43" t="s">
        <v>35</v>
      </c>
      <c r="H11" s="43" t="s">
        <v>36</v>
      </c>
      <c r="I11" s="43" t="s">
        <v>37</v>
      </c>
      <c r="J11" s="52" t="s">
        <v>40</v>
      </c>
    </row>
    <row r="12" spans="1:10" x14ac:dyDescent="0.3">
      <c r="A12" s="42" t="s">
        <v>46</v>
      </c>
      <c r="B12" s="48">
        <v>1240586</v>
      </c>
      <c r="C12" s="48">
        <v>5</v>
      </c>
      <c r="D12" s="49"/>
      <c r="E12" s="42" t="s">
        <v>33</v>
      </c>
      <c r="F12" s="43" t="s">
        <v>34</v>
      </c>
      <c r="G12" s="43" t="s">
        <v>35</v>
      </c>
      <c r="H12" s="43" t="s">
        <v>36</v>
      </c>
      <c r="I12" s="43" t="s">
        <v>37</v>
      </c>
      <c r="J12" s="52" t="s">
        <v>40</v>
      </c>
    </row>
    <row r="13" spans="1:10" x14ac:dyDescent="0.3">
      <c r="A13" s="42" t="s">
        <v>47</v>
      </c>
      <c r="B13" s="48"/>
      <c r="C13" s="48"/>
      <c r="D13" s="49" t="s">
        <v>48</v>
      </c>
      <c r="E13" s="42" t="s">
        <v>33</v>
      </c>
      <c r="F13" s="43" t="s">
        <v>34</v>
      </c>
      <c r="G13" s="43" t="s">
        <v>35</v>
      </c>
      <c r="H13" s="43" t="s">
        <v>36</v>
      </c>
      <c r="I13" s="43" t="s">
        <v>37</v>
      </c>
      <c r="J13" s="52" t="s">
        <v>40</v>
      </c>
    </row>
    <row r="14" spans="1:10" x14ac:dyDescent="0.3">
      <c r="A14" s="42" t="s">
        <v>49</v>
      </c>
      <c r="B14" s="48">
        <v>1220848</v>
      </c>
      <c r="C14" s="48">
        <v>5</v>
      </c>
      <c r="D14" s="49"/>
      <c r="E14" s="42" t="s">
        <v>33</v>
      </c>
      <c r="F14" s="43" t="s">
        <v>34</v>
      </c>
      <c r="G14" s="43" t="s">
        <v>35</v>
      </c>
      <c r="H14" s="43" t="s">
        <v>36</v>
      </c>
      <c r="I14" s="43" t="s">
        <v>37</v>
      </c>
      <c r="J14" s="52" t="s">
        <v>40</v>
      </c>
    </row>
    <row r="15" spans="1:10" x14ac:dyDescent="0.3">
      <c r="A15" s="42" t="s">
        <v>50</v>
      </c>
      <c r="B15" s="48">
        <v>1240588</v>
      </c>
      <c r="C15" s="48">
        <v>4</v>
      </c>
      <c r="D15" s="49"/>
      <c r="E15" s="42" t="s">
        <v>33</v>
      </c>
      <c r="F15" s="43" t="s">
        <v>34</v>
      </c>
      <c r="G15" s="43" t="s">
        <v>35</v>
      </c>
      <c r="H15" s="43" t="s">
        <v>36</v>
      </c>
      <c r="I15" s="43" t="s">
        <v>37</v>
      </c>
      <c r="J15" s="52" t="s">
        <v>40</v>
      </c>
    </row>
    <row r="16" spans="1:10" x14ac:dyDescent="0.3">
      <c r="A16" s="42" t="s">
        <v>51</v>
      </c>
      <c r="B16" s="48"/>
      <c r="C16" s="48"/>
      <c r="D16" s="49" t="s">
        <v>48</v>
      </c>
      <c r="E16" s="42" t="s">
        <v>33</v>
      </c>
      <c r="F16" s="43" t="s">
        <v>34</v>
      </c>
      <c r="G16" s="43" t="s">
        <v>35</v>
      </c>
      <c r="H16" s="43" t="s">
        <v>36</v>
      </c>
      <c r="I16" s="43" t="s">
        <v>37</v>
      </c>
      <c r="J16" s="52" t="s">
        <v>40</v>
      </c>
    </row>
    <row r="17" spans="1:10" x14ac:dyDescent="0.3">
      <c r="A17" s="42" t="s">
        <v>52</v>
      </c>
      <c r="B17" s="48">
        <v>1220848</v>
      </c>
      <c r="C17" s="48">
        <v>4</v>
      </c>
      <c r="D17" s="49"/>
      <c r="E17" s="42" t="s">
        <v>33</v>
      </c>
      <c r="F17" s="43" t="s">
        <v>34</v>
      </c>
      <c r="G17" s="43" t="s">
        <v>35</v>
      </c>
      <c r="H17" s="43" t="s">
        <v>36</v>
      </c>
      <c r="I17" s="43" t="s">
        <v>37</v>
      </c>
      <c r="J17" s="52" t="s">
        <v>40</v>
      </c>
    </row>
    <row r="18" spans="1:10" ht="46.8" x14ac:dyDescent="0.3">
      <c r="A18" s="42" t="s">
        <v>54</v>
      </c>
      <c r="B18" s="48">
        <v>1232162</v>
      </c>
      <c r="C18" s="48">
        <v>5</v>
      </c>
      <c r="D18" s="49"/>
      <c r="E18" s="42" t="s">
        <v>33</v>
      </c>
      <c r="F18" s="43" t="s">
        <v>34</v>
      </c>
      <c r="G18" s="43" t="s">
        <v>35</v>
      </c>
      <c r="H18" s="43" t="s">
        <v>36</v>
      </c>
      <c r="I18" s="43" t="s">
        <v>37</v>
      </c>
      <c r="J18" s="52" t="s">
        <v>40</v>
      </c>
    </row>
    <row r="19" spans="1:10" ht="46.8" x14ac:dyDescent="0.3">
      <c r="A19" s="42" t="s">
        <v>55</v>
      </c>
      <c r="B19" s="48">
        <v>1220848</v>
      </c>
      <c r="C19" s="48">
        <v>5</v>
      </c>
      <c r="D19" s="49"/>
      <c r="E19" s="42" t="s">
        <v>33</v>
      </c>
      <c r="F19" s="43" t="s">
        <v>34</v>
      </c>
      <c r="G19" s="43" t="s">
        <v>35</v>
      </c>
      <c r="H19" s="43" t="s">
        <v>36</v>
      </c>
      <c r="I19" s="43" t="s">
        <v>37</v>
      </c>
      <c r="J19" s="52" t="s">
        <v>40</v>
      </c>
    </row>
    <row r="20" spans="1:10" ht="46.8" x14ac:dyDescent="0.3">
      <c r="A20" s="42" t="s">
        <v>56</v>
      </c>
      <c r="B20" s="48">
        <v>1232162</v>
      </c>
      <c r="C20" s="48">
        <v>5</v>
      </c>
      <c r="D20" s="49"/>
      <c r="E20" s="42" t="s">
        <v>33</v>
      </c>
      <c r="F20" s="43" t="s">
        <v>34</v>
      </c>
      <c r="G20" s="43" t="s">
        <v>35</v>
      </c>
      <c r="H20" s="43" t="s">
        <v>36</v>
      </c>
      <c r="I20" s="43" t="s">
        <v>37</v>
      </c>
      <c r="J20" s="52" t="s">
        <v>40</v>
      </c>
    </row>
    <row r="21" spans="1:10" ht="46.8" x14ac:dyDescent="0.3">
      <c r="A21" s="42" t="s">
        <v>57</v>
      </c>
      <c r="B21" s="48">
        <v>1240588</v>
      </c>
      <c r="C21" s="48">
        <v>5</v>
      </c>
      <c r="D21" s="49"/>
      <c r="E21" s="42" t="s">
        <v>33</v>
      </c>
      <c r="F21" s="43" t="s">
        <v>34</v>
      </c>
      <c r="G21" s="43" t="s">
        <v>35</v>
      </c>
      <c r="H21" s="43" t="s">
        <v>36</v>
      </c>
      <c r="I21" s="43" t="s">
        <v>37</v>
      </c>
      <c r="J21" s="52" t="s">
        <v>40</v>
      </c>
    </row>
    <row r="22" spans="1:10" ht="46.8" x14ac:dyDescent="0.3">
      <c r="A22" s="42" t="s">
        <v>58</v>
      </c>
      <c r="B22" s="48">
        <v>1240586</v>
      </c>
      <c r="C22" s="48">
        <v>5</v>
      </c>
      <c r="D22" s="49"/>
      <c r="E22" s="42" t="s">
        <v>33</v>
      </c>
      <c r="F22" s="43" t="s">
        <v>34</v>
      </c>
      <c r="G22" s="43" t="s">
        <v>35</v>
      </c>
      <c r="H22" s="43" t="s">
        <v>36</v>
      </c>
      <c r="I22" s="43" t="s">
        <v>37</v>
      </c>
      <c r="J22" s="52" t="s">
        <v>40</v>
      </c>
    </row>
    <row r="23" spans="1:10" ht="46.8" x14ac:dyDescent="0.3">
      <c r="A23" s="42" t="s">
        <v>59</v>
      </c>
      <c r="B23" s="48">
        <v>1232162</v>
      </c>
      <c r="C23" s="48">
        <v>5</v>
      </c>
      <c r="D23" s="49"/>
      <c r="E23" s="42" t="s">
        <v>33</v>
      </c>
      <c r="F23" s="43" t="s">
        <v>34</v>
      </c>
      <c r="G23" s="43" t="s">
        <v>35</v>
      </c>
      <c r="H23" s="43" t="s">
        <v>36</v>
      </c>
      <c r="I23" s="43" t="s">
        <v>37</v>
      </c>
      <c r="J23" s="52" t="s">
        <v>40</v>
      </c>
    </row>
    <row r="24" spans="1:10" x14ac:dyDescent="0.3">
      <c r="A24" s="42"/>
      <c r="B24" s="48"/>
      <c r="C24" s="48"/>
      <c r="D24" s="49"/>
      <c r="E24" s="42" t="s">
        <v>33</v>
      </c>
      <c r="F24" s="43" t="s">
        <v>34</v>
      </c>
      <c r="G24" s="43" t="s">
        <v>35</v>
      </c>
      <c r="H24" s="43" t="s">
        <v>36</v>
      </c>
      <c r="I24" s="43" t="s">
        <v>37</v>
      </c>
      <c r="J24" s="52" t="s">
        <v>40</v>
      </c>
    </row>
    <row r="25" spans="1:10" x14ac:dyDescent="0.3">
      <c r="A25" s="42"/>
      <c r="B25" s="48"/>
      <c r="C25" s="48"/>
      <c r="D25" s="49"/>
      <c r="E25" s="42" t="s">
        <v>33</v>
      </c>
      <c r="F25" s="43" t="s">
        <v>34</v>
      </c>
      <c r="G25" s="43" t="s">
        <v>35</v>
      </c>
      <c r="H25" s="43" t="s">
        <v>36</v>
      </c>
      <c r="I25" s="43" t="s">
        <v>37</v>
      </c>
      <c r="J25" s="52" t="s">
        <v>40</v>
      </c>
    </row>
    <row r="26" spans="1:10" x14ac:dyDescent="0.3">
      <c r="A26" s="42"/>
      <c r="B26" s="48"/>
      <c r="C26" s="48"/>
      <c r="D26" s="49"/>
      <c r="E26" s="42" t="s">
        <v>33</v>
      </c>
      <c r="F26" s="43" t="s">
        <v>34</v>
      </c>
      <c r="G26" s="43" t="s">
        <v>35</v>
      </c>
      <c r="H26" s="43" t="s">
        <v>36</v>
      </c>
      <c r="I26" s="43" t="s">
        <v>37</v>
      </c>
      <c r="J26" s="52" t="s">
        <v>40</v>
      </c>
    </row>
    <row r="27" spans="1:10" x14ac:dyDescent="0.3">
      <c r="A27" s="42"/>
      <c r="B27" s="48"/>
      <c r="C27" s="48"/>
      <c r="D27" s="49"/>
      <c r="E27" s="42" t="s">
        <v>33</v>
      </c>
      <c r="F27" s="43" t="s">
        <v>34</v>
      </c>
      <c r="G27" s="43" t="s">
        <v>35</v>
      </c>
      <c r="H27" s="43" t="s">
        <v>36</v>
      </c>
      <c r="I27" s="43" t="s">
        <v>37</v>
      </c>
      <c r="J27" s="52" t="s">
        <v>40</v>
      </c>
    </row>
    <row r="28" spans="1:10" ht="46.8" x14ac:dyDescent="0.3">
      <c r="A28" s="42"/>
      <c r="B28" s="48"/>
      <c r="C28" s="48"/>
      <c r="D28" s="49"/>
      <c r="E28" s="42" t="s">
        <v>33</v>
      </c>
      <c r="F28" s="43" t="s">
        <v>34</v>
      </c>
      <c r="G28" s="43" t="s">
        <v>35</v>
      </c>
      <c r="H28" s="43" t="s">
        <v>36</v>
      </c>
      <c r="I28" s="43" t="s">
        <v>37</v>
      </c>
      <c r="J28" s="52" t="s">
        <v>40</v>
      </c>
    </row>
    <row r="29" spans="1:10" ht="46.8" x14ac:dyDescent="0.3">
      <c r="A29" s="42"/>
      <c r="B29" s="48"/>
      <c r="C29" s="48"/>
      <c r="D29" s="49"/>
      <c r="E29" s="42" t="s">
        <v>33</v>
      </c>
      <c r="F29" s="43" t="s">
        <v>34</v>
      </c>
      <c r="G29" s="43" t="s">
        <v>35</v>
      </c>
      <c r="H29" s="43" t="s">
        <v>36</v>
      </c>
      <c r="I29" s="43" t="s">
        <v>37</v>
      </c>
      <c r="J29" s="52" t="s">
        <v>40</v>
      </c>
    </row>
    <row r="30" spans="1:10" ht="46.8" x14ac:dyDescent="0.3">
      <c r="A30" s="42" t="s">
        <v>53</v>
      </c>
      <c r="B30" s="48"/>
      <c r="C30" s="48"/>
      <c r="D30" s="49"/>
      <c r="E30" s="42" t="s">
        <v>33</v>
      </c>
      <c r="F30" s="43" t="s">
        <v>34</v>
      </c>
      <c r="G30" s="43" t="s">
        <v>35</v>
      </c>
      <c r="H30" s="43" t="s">
        <v>36</v>
      </c>
      <c r="I30" s="43" t="s">
        <v>37</v>
      </c>
      <c r="J30" s="52" t="s">
        <v>40</v>
      </c>
    </row>
    <row r="31" spans="1:10" ht="46.8" x14ac:dyDescent="0.3">
      <c r="A31" s="42"/>
      <c r="B31" s="48"/>
      <c r="C31" s="48"/>
      <c r="D31" s="49"/>
      <c r="E31" s="42" t="s">
        <v>33</v>
      </c>
      <c r="F31" s="43" t="s">
        <v>34</v>
      </c>
      <c r="G31" s="43" t="s">
        <v>35</v>
      </c>
      <c r="H31" s="43" t="s">
        <v>36</v>
      </c>
      <c r="I31" s="43" t="s">
        <v>37</v>
      </c>
      <c r="J31" s="52" t="s">
        <v>40</v>
      </c>
    </row>
    <row r="32" spans="1:10" ht="46.8" x14ac:dyDescent="0.3">
      <c r="A32" s="45"/>
      <c r="B32" s="53"/>
      <c r="C32" s="48"/>
      <c r="D32" s="54"/>
      <c r="E32" s="45" t="s">
        <v>33</v>
      </c>
      <c r="F32" s="46" t="s">
        <v>34</v>
      </c>
      <c r="G32" s="46" t="s">
        <v>35</v>
      </c>
      <c r="H32" s="46" t="s">
        <v>36</v>
      </c>
      <c r="I32" s="46" t="s">
        <v>37</v>
      </c>
      <c r="J32" s="52" t="s">
        <v>40</v>
      </c>
    </row>
  </sheetData>
  <mergeCells count="4">
    <mergeCell ref="A3:A5"/>
    <mergeCell ref="B3:B5"/>
    <mergeCell ref="C3:C5"/>
    <mergeCell ref="D3:D5"/>
  </mergeCells>
  <phoneticPr fontId="7" type="noConversion"/>
  <conditionalFormatting sqref="E6:J32">
    <cfRule type="expression" dxfId="0" priority="1" stopIfTrue="1">
      <formula>$C6=E$3</formula>
    </cfRule>
  </conditionalFormatting>
  <dataValidations count="1">
    <dataValidation type="list" allowBlank="1" showErrorMessage="1" sqref="C6:C32" xr:uid="{00000000-0002-0000-0100-000000000000}">
      <formula1>$E$3:$J$3</formula1>
    </dataValidation>
  </dataValidation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1000000}">
          <x14:formula1>
            <xm:f>'Group and Self Assessment'!$C$10:$C$17</xm:f>
          </x14:formula1>
          <xm:sqref>B6:B32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Group and Self Assessment</vt:lpstr>
      <vt:lpstr>User Stories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Gonçalo Couto</cp:lastModifiedBy>
  <dcterms:created xsi:type="dcterms:W3CDTF">2021-10-23T17:18:59Z</dcterms:created>
  <dcterms:modified xsi:type="dcterms:W3CDTF">2025-05-18T15:34:13Z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0x0101005836243B3C47804EAF5FFDD9F066FCC7</vt:lpwstr>
  </property>
</Properties>
</file>